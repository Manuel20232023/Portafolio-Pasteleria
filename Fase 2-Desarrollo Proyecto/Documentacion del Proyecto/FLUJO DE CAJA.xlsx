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  <sheet state="visible" name="Hoja3" sheetId="2" r:id="rId5"/>
  </sheets>
  <definedNames/>
  <calcPr/>
  <extLst>
    <ext uri="GoogleSheetsCustomDataVersion2">
      <go:sheetsCustomData xmlns:go="http://customooxmlschemas.google.com/" r:id="rId6" roundtripDataChecksum="9+tN8eyPTNxGxI13BEb8JV75Ui5Zwg7XZaEw0UDY5X0="/>
    </ext>
  </extLst>
</workbook>
</file>

<file path=xl/sharedStrings.xml><?xml version="1.0" encoding="utf-8"?>
<sst xmlns="http://schemas.openxmlformats.org/spreadsheetml/2006/main" count="19" uniqueCount="19">
  <si>
    <t xml:space="preserve">ITEM </t>
  </si>
  <si>
    <t>MES 0</t>
  </si>
  <si>
    <t>AGOSTO</t>
  </si>
  <si>
    <t xml:space="preserve">SEPTIEMBRE </t>
  </si>
  <si>
    <t>OCTUBRE</t>
  </si>
  <si>
    <t xml:space="preserve">NOVIEMBRE </t>
  </si>
  <si>
    <t>DICIEMBRE</t>
  </si>
  <si>
    <t>ARRASTRE</t>
  </si>
  <si>
    <t>PRESTAMO</t>
  </si>
  <si>
    <t>APORTE ACTIVOS</t>
  </si>
  <si>
    <t>HITO DE PAGOS</t>
  </si>
  <si>
    <t>INGRESO</t>
  </si>
  <si>
    <t>APORTE INICIAL</t>
  </si>
  <si>
    <t xml:space="preserve">LUZ </t>
  </si>
  <si>
    <t>INTERNET</t>
  </si>
  <si>
    <t>CUOTA CREDITO BANCARIO</t>
  </si>
  <si>
    <t>SUELDOS</t>
  </si>
  <si>
    <t xml:space="preserve">EGRESOS </t>
  </si>
  <si>
    <t>FLUJOS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</si>
</sst>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\ * #,##0.00_-;\-&quot;$&quot;\ * #,##0.00_-;_-&quot;$&quot;\ * &quot;-&quot;??_-;_-@"/>
    <numFmt numFmtId="165" formatCode="_-&quot;$&quot;\ * #,##0_-;\-&quot;$&quot;\ * #,##0_-;_-&quot;$&quot;\ * &quot;-&quot;??_-;_-@"/>
    <numFmt numFmtId="166" formatCode="_ &quot;$&quot;* #,##0_ ;_ &quot;$&quot;* \-#,##0_ ;_ &quot;$&quot;* &quot;-&quot;_ ;_ @_ 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3E50B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0" fontId="1" numFmtId="0" xfId="0" applyBorder="1" applyFont="1"/>
    <xf borderId="5" fillId="0" fontId="1" numFmtId="164" xfId="0" applyBorder="1" applyFont="1" applyNumberFormat="1"/>
    <xf borderId="5" fillId="0" fontId="1" numFmtId="165" xfId="0" applyBorder="1" applyFont="1" applyNumberFormat="1"/>
    <xf borderId="6" fillId="0" fontId="1" numFmtId="165" xfId="0" applyBorder="1" applyFont="1" applyNumberFormat="1"/>
    <xf borderId="7" fillId="0" fontId="1" numFmtId="0" xfId="0" applyBorder="1" applyFont="1"/>
    <xf borderId="0" fillId="0" fontId="1" numFmtId="0" xfId="0" applyFont="1"/>
    <xf borderId="8" fillId="0" fontId="1" numFmtId="0" xfId="0" applyBorder="1" applyFont="1"/>
    <xf borderId="0" fillId="0" fontId="1" numFmtId="165" xfId="0" applyFont="1" applyNumberFormat="1"/>
    <xf borderId="8" fillId="0" fontId="1" numFmtId="165" xfId="0" applyBorder="1" applyFont="1" applyNumberFormat="1"/>
    <xf borderId="0" fillId="0" fontId="1" numFmtId="165" xfId="0" applyAlignment="1" applyFont="1" applyNumberFormat="1">
      <alignment readingOrder="0"/>
    </xf>
    <xf borderId="0" fillId="0" fontId="2" numFmtId="3" xfId="0" applyFont="1" applyNumberFormat="1"/>
    <xf borderId="9" fillId="2" fontId="1" numFmtId="0" xfId="0" applyBorder="1" applyFont="1"/>
    <xf borderId="10" fillId="2" fontId="1" numFmtId="165" xfId="0" applyBorder="1" applyFont="1" applyNumberFormat="1"/>
    <xf borderId="11" fillId="2" fontId="1" numFmtId="165" xfId="0" applyBorder="1" applyFont="1" applyNumberFormat="1"/>
    <xf borderId="7" fillId="0" fontId="1" numFmtId="0" xfId="0" applyAlignment="1" applyBorder="1" applyFont="1">
      <alignment readingOrder="0"/>
    </xf>
    <xf borderId="8" fillId="0" fontId="1" numFmtId="165" xfId="0" applyAlignment="1" applyBorder="1" applyFont="1" applyNumberFormat="1">
      <alignment readingOrder="0"/>
    </xf>
    <xf borderId="0" fillId="0" fontId="1" numFmtId="3" xfId="0" applyFont="1" applyNumberFormat="1"/>
    <xf borderId="7" fillId="0" fontId="1" numFmtId="0" xfId="0" applyAlignment="1" applyBorder="1" applyFont="1">
      <alignment vertical="top"/>
    </xf>
    <xf borderId="0" fillId="0" fontId="1" numFmtId="165" xfId="0" applyAlignment="1" applyFont="1" applyNumberFormat="1">
      <alignment vertical="top"/>
    </xf>
    <xf borderId="12" fillId="0" fontId="1" numFmtId="166" xfId="0" applyBorder="1" applyFont="1" applyNumberFormat="1"/>
    <xf borderId="0" fillId="0" fontId="1" numFmtId="166" xfId="0" applyFont="1" applyNumberForma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29"/>
    <col customWidth="1" min="3" max="3" width="14.71"/>
    <col customWidth="1" min="4" max="4" width="14.57"/>
    <col customWidth="1" min="5" max="8" width="13.0"/>
    <col customWidth="1" min="9" max="9" width="10.71"/>
    <col customWidth="1" min="10" max="10" width="15.57"/>
    <col customWidth="1" min="11" max="11" width="13.0"/>
    <col customWidth="1" min="12" max="12" width="10.71"/>
    <col customWidth="1" min="13" max="13" width="11.86"/>
    <col customWidth="1" min="14" max="26" width="10.71"/>
  </cols>
  <sheetData>
    <row r="1" ht="14.25" customHeight="1"/>
    <row r="2" ht="14.25" customHeight="1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ht="14.25" customHeight="1">
      <c r="B3" s="4" t="s">
        <v>7</v>
      </c>
      <c r="C3" s="5">
        <v>0.0</v>
      </c>
      <c r="D3" s="6">
        <f t="shared" ref="D3:H3" si="1">C20</f>
        <v>3000000</v>
      </c>
      <c r="E3" s="6">
        <f t="shared" si="1"/>
        <v>3689737</v>
      </c>
      <c r="F3" s="6">
        <f t="shared" si="1"/>
        <v>1750777</v>
      </c>
      <c r="G3" s="6">
        <f t="shared" si="1"/>
        <v>970634</v>
      </c>
      <c r="H3" s="7">
        <f t="shared" si="1"/>
        <v>2902668</v>
      </c>
    </row>
    <row r="4" ht="14.25" customHeight="1">
      <c r="B4" s="8"/>
      <c r="C4" s="9"/>
      <c r="D4" s="9"/>
      <c r="E4" s="9"/>
      <c r="F4" s="9"/>
      <c r="G4" s="9"/>
      <c r="H4" s="10"/>
    </row>
    <row r="5" ht="14.25" customHeight="1">
      <c r="B5" s="8" t="s">
        <v>8</v>
      </c>
      <c r="C5" s="11">
        <v>2000000.0</v>
      </c>
      <c r="D5" s="11"/>
      <c r="E5" s="11"/>
      <c r="F5" s="11"/>
      <c r="G5" s="11"/>
      <c r="H5" s="12"/>
    </row>
    <row r="6" ht="14.25" customHeight="1">
      <c r="B6" s="8" t="s">
        <v>9</v>
      </c>
      <c r="C6" s="13">
        <v>1000000.0</v>
      </c>
      <c r="D6" s="11"/>
      <c r="E6" s="11"/>
      <c r="F6" s="11"/>
      <c r="G6" s="11"/>
      <c r="H6" s="12"/>
      <c r="L6" s="14"/>
    </row>
    <row r="7" ht="14.25" customHeight="1">
      <c r="B7" s="8" t="s">
        <v>10</v>
      </c>
      <c r="D7" s="11">
        <v>1705457.0</v>
      </c>
      <c r="E7" s="11">
        <v>0.0</v>
      </c>
      <c r="F7" s="11">
        <v>1705457.0</v>
      </c>
      <c r="G7" s="11">
        <v>3410914.0</v>
      </c>
      <c r="H7" s="12"/>
    </row>
    <row r="8" ht="14.25" customHeight="1">
      <c r="B8" s="8"/>
      <c r="C8" s="9"/>
      <c r="D8" s="9"/>
      <c r="E8" s="9"/>
      <c r="F8" s="9"/>
      <c r="G8" s="9"/>
      <c r="H8" s="10"/>
    </row>
    <row r="9" ht="14.25" customHeight="1">
      <c r="B9" s="15" t="s">
        <v>11</v>
      </c>
      <c r="C9" s="16">
        <f t="shared" ref="C9:H9" si="2">SUM(C3:C8)</f>
        <v>3000000</v>
      </c>
      <c r="D9" s="16">
        <f t="shared" si="2"/>
        <v>4705457</v>
      </c>
      <c r="E9" s="16">
        <f t="shared" si="2"/>
        <v>3689737</v>
      </c>
      <c r="F9" s="16">
        <f t="shared" si="2"/>
        <v>3456234</v>
      </c>
      <c r="G9" s="16">
        <f t="shared" si="2"/>
        <v>4381548</v>
      </c>
      <c r="H9" s="17">
        <f t="shared" si="2"/>
        <v>2902668</v>
      </c>
    </row>
    <row r="10" ht="14.25" customHeight="1">
      <c r="B10" s="8"/>
      <c r="C10" s="9"/>
      <c r="D10" s="9"/>
      <c r="E10" s="9"/>
      <c r="F10" s="9"/>
      <c r="G10" s="9"/>
      <c r="H10" s="10"/>
    </row>
    <row r="11" ht="14.25" customHeight="1">
      <c r="B11" s="8"/>
      <c r="C11" s="9"/>
      <c r="D11" s="11">
        <v>0.0</v>
      </c>
      <c r="E11" s="11">
        <v>0.0</v>
      </c>
      <c r="F11" s="11">
        <v>0.0</v>
      </c>
      <c r="G11" s="11">
        <v>0.0</v>
      </c>
      <c r="H11" s="12">
        <v>0.0</v>
      </c>
    </row>
    <row r="12" ht="14.25" customHeight="1">
      <c r="B12" s="18" t="s">
        <v>12</v>
      </c>
      <c r="C12" s="9"/>
      <c r="D12" s="11">
        <v>0.0</v>
      </c>
      <c r="E12" s="11">
        <v>0.0</v>
      </c>
      <c r="F12" s="11">
        <v>0.0</v>
      </c>
      <c r="G12" s="11">
        <v>0.0</v>
      </c>
      <c r="H12" s="19">
        <v>1000000.0</v>
      </c>
      <c r="K12" s="20"/>
    </row>
    <row r="13" ht="14.25" customHeight="1">
      <c r="B13" s="8" t="s">
        <v>13</v>
      </c>
      <c r="C13" s="9"/>
      <c r="D13" s="11">
        <v>20000.0</v>
      </c>
      <c r="E13" s="11">
        <v>20000.0</v>
      </c>
      <c r="F13" s="11">
        <v>20000.0</v>
      </c>
      <c r="G13" s="11">
        <v>20000.0</v>
      </c>
      <c r="H13" s="12">
        <v>0.0</v>
      </c>
    </row>
    <row r="14" ht="14.25" customHeight="1">
      <c r="B14" s="8" t="s">
        <v>14</v>
      </c>
      <c r="C14" s="9"/>
      <c r="D14" s="11">
        <v>20000.0</v>
      </c>
      <c r="E14" s="11">
        <v>20000.0</v>
      </c>
      <c r="F14" s="11"/>
      <c r="G14" s="11">
        <v>40000.0</v>
      </c>
      <c r="H14" s="12">
        <v>0.0</v>
      </c>
    </row>
    <row r="15" ht="14.25" customHeight="1">
      <c r="B15" s="18" t="s">
        <v>15</v>
      </c>
      <c r="C15" s="9"/>
      <c r="D15" s="11"/>
      <c r="E15" s="13">
        <v>755800.0</v>
      </c>
      <c r="F15" s="11"/>
      <c r="G15" s="13">
        <v>755800.0</v>
      </c>
      <c r="H15" s="13">
        <v>755800.0</v>
      </c>
    </row>
    <row r="16" ht="15.0" customHeight="1">
      <c r="B16" s="21" t="s">
        <v>16</v>
      </c>
      <c r="C16" s="22"/>
      <c r="D16" s="11">
        <v>975720.0</v>
      </c>
      <c r="E16" s="23">
        <v>1143160.0</v>
      </c>
      <c r="F16" s="24">
        <v>2465600.0</v>
      </c>
      <c r="G16" s="11">
        <v>663080.0</v>
      </c>
      <c r="H16" s="12">
        <v>0.0</v>
      </c>
    </row>
    <row r="17" ht="14.25" customHeight="1">
      <c r="B17" s="8"/>
      <c r="C17" s="11"/>
      <c r="D17" s="11"/>
      <c r="E17" s="11"/>
      <c r="F17" s="11"/>
      <c r="G17" s="11"/>
      <c r="H17" s="12"/>
    </row>
    <row r="18" ht="14.25" customHeight="1">
      <c r="B18" s="15" t="s">
        <v>17</v>
      </c>
      <c r="C18" s="16">
        <f>C11+C12+C13+C14+C15+C17+C16</f>
        <v>0</v>
      </c>
      <c r="D18" s="16">
        <f t="shared" ref="D18:H18" si="3">SUM(D11:D17)</f>
        <v>1015720</v>
      </c>
      <c r="E18" s="16">
        <f t="shared" si="3"/>
        <v>1938960</v>
      </c>
      <c r="F18" s="16">
        <f t="shared" si="3"/>
        <v>2485600</v>
      </c>
      <c r="G18" s="16">
        <f t="shared" si="3"/>
        <v>1478880</v>
      </c>
      <c r="H18" s="16">
        <f t="shared" si="3"/>
        <v>1755800</v>
      </c>
      <c r="K18" s="11"/>
      <c r="L18" s="11"/>
      <c r="M18" s="11"/>
    </row>
    <row r="19" ht="14.25" customHeight="1">
      <c r="B19" s="25"/>
      <c r="C19" s="26"/>
      <c r="D19" s="26"/>
      <c r="E19" s="26"/>
      <c r="F19" s="26"/>
      <c r="G19" s="26"/>
      <c r="H19" s="27"/>
    </row>
    <row r="20" ht="14.25" customHeight="1">
      <c r="B20" s="15" t="s">
        <v>18</v>
      </c>
      <c r="C20" s="16">
        <f t="shared" ref="C20:H20" si="4">C9-C18</f>
        <v>3000000</v>
      </c>
      <c r="D20" s="16">
        <f t="shared" si="4"/>
        <v>3689737</v>
      </c>
      <c r="E20" s="16">
        <f t="shared" si="4"/>
        <v>1750777</v>
      </c>
      <c r="F20" s="16">
        <f t="shared" si="4"/>
        <v>970634</v>
      </c>
      <c r="G20" s="16">
        <f t="shared" si="4"/>
        <v>2902668</v>
      </c>
      <c r="H20" s="17">
        <f t="shared" si="4"/>
        <v>1146868</v>
      </c>
    </row>
    <row r="21" ht="14.25" customHeight="1"/>
    <row r="22" ht="14.25" customHeight="1"/>
    <row r="23" ht="14.25" customHeight="1"/>
    <row r="24" ht="14.25" customHeight="1">
      <c r="B24" s="11"/>
      <c r="C24" s="11"/>
    </row>
    <row r="25" ht="14.25" customHeight="1">
      <c r="C25" s="11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2019-12-04T02:06:11Z</dcterms:created>
  <dc:creator>Barbara!</dc:creator>
</cp:coreProperties>
</file>